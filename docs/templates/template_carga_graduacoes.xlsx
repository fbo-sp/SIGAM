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69409df42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b179cf3d0a334241"/>
    <x:sheet xmlns:r="http://schemas.openxmlformats.org/officeDocument/2006/relationships" name="Carga" sheetId="2" r:id="R71e747656df64d94"/>
    <x:sheet xmlns:r="http://schemas.openxmlformats.org/officeDocument/2006/relationships" name="Alternativas" sheetId="3" r:id="R999552f6d0514348"/>
    <x:sheet xmlns:r="http://schemas.openxmlformats.org/officeDocument/2006/relationships" name="Fontes" sheetId="4" r:id="R0bdd14e61b51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b/>
      <x:sz val="10"/>
      <x:color rgb="FF4444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1015313c148d5" /><Relationship Type="http://schemas.openxmlformats.org/officeDocument/2006/relationships/theme" Target="/xl/theme/theme1.xml" Id="Rf823aece89f64d0c" /><Relationship Type="http://schemas.openxmlformats.org/officeDocument/2006/relationships/sharedStrings" Target="/xl/sharedStrings.xml" Id="R89e46a63709f4fa9" /><Relationship Type="http://schemas.openxmlformats.org/officeDocument/2006/relationships/worksheet" Target="/xl/worksheets/sheet1.xml" Id="Rb179cf3d0a334241" /><Relationship Type="http://schemas.openxmlformats.org/officeDocument/2006/relationships/worksheet" Target="/xl/worksheets/sheet2.xml" Id="R71e747656df64d94" /><Relationship Type="http://schemas.openxmlformats.org/officeDocument/2006/relationships/worksheet" Target="/xl/worksheets/sheet3.xml" Id="R999552f6d0514348" /><Relationship Type="http://schemas.openxmlformats.org/officeDocument/2006/relationships/worksheet" Target="/xl/worksheets/sheet4.xml" Id="R0bdd14e61b51461f" /></Relationships>
</file>

<file path=xl/tables/table1.xml><?xml version="1.0" encoding="utf-8"?>
<x:table xmlns:x="http://schemas.openxmlformats.org/spreadsheetml/2006/main" id="1" name="GraduacoesCarga" displayName="GraduacoesCarga" ref="A6:M42" headerRowCount="1" totalsRowCount="0" totalsRowShown="0">
  <x:tableColumns count="13">
    <x:tableColumn id="1" name="modalidade"/>
    <x:tableColumn id="2" name="name"/>
    <x:tableColumn id="3" name="display_name"/>
    <x:tableColumn id="4" name="sort_order"/>
    <x:tableColumn id="5" name="color_name"/>
    <x:tableColumn id="6" name="minimum_age"/>
    <x:tableColumn id="7" name="minimum_months"/>
    <x:tableColumn id="8" name="status"/>
    <x:tableColumn id="9" name="template"/>
    <x:tableColumn id="10" name="revisao_obrigatoria"/>
    <x:tableColumn id="11" name="observacoes"/>
    <x:tableColumn id="12" name="fonte_id"/>
    <x:tableColumn id="13" name="valid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uacoesAlternativas" displayName="GraduacoesAlternativas" ref="A6:J11" headerRowCount="1" totalsRowCount="0" totalsRowShown="0">
  <x:tableColumns count="10">
    <x:tableColumn id="1" name="modalidade"/>
    <x:tableColumn id="2" name="trilha"/>
    <x:tableColumn id="3" name="name"/>
    <x:tableColumn id="4" name="display_name"/>
    <x:tableColumn id="5" name="sort_order"/>
    <x:tableColumn id="6" name="color_name"/>
    <x:tableColumn id="7" name="minimum_age"/>
    <x:tableColumn id="8" name="status"/>
    <x:tableColumn id="9" name="observacoes"/>
    <x:tableColumn id="10" name="font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ntesTemplate" displayName="FontesTemplate" ref="A6:E10" headerRowCount="1" totalsRowCount="0" totalsRowShown="0">
  <x:tableColumns count="5">
    <x:tableColumn id="1" name="fonte_id"/>
    <x:tableColumn id="2" name="Entidade"/>
    <x:tableColumn id="3" name="Documento ou página"/>
    <x:tableColumn id="4" name="Endereço"/>
    <x:tableColumn id="5" name="Uso no templ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2e2fa93f654c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0f81cfdb1748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30603ff2104925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Template de carga de graduações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Referências brasileiras e campos compatíveis com o cadastro atual do SIGAM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" customHeight="1">
      <x:c r="A4" s="4"/>
      <x:c r="B4" s="4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Como usar</x:v>
      </x:c>
      <x:c r="B6" s="13" t="str">
        <x:v>Instrução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1</x:v>
      </x:c>
      <x:c r="B7" s="14" t="str">
        <x:v>Revise a aba Carga. Ajuste nomes, cores, idades e tempos mínimos conforme a federação e o regulamento adotados pela associação.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1" t="str">
        <x:v>2</x:v>
      </x:c>
      <x:c r="B8" s="14" t="str">
        <x:v>Mantenha uma única sequência linear por modalidade. O SIGAM atual não representa ramificações infantil e adulta dentro da mesma modalidade.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1" t="str">
        <x:v>3</x:v>
      </x:c>
      <x:c r="B9" s="14" t="str">
        <x:v>Filtre a coluna Validação. Corrija todos os itens diferentes de OK antes da carga.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1" t="str">
        <x:v>4</x:v>
      </x:c>
      <x:c r="B10" s="14" t="str">
        <x:v>Campos vazios em idade mínima ou tempo mínimo significam que o requisito não foi afirmado por este template. Não significam zero.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1" t="str">
        <x:v>5</x:v>
      </x:c>
      <x:c r="B11" s="14" t="str">
        <x:v>A aba Alternativas contém a trilha infantil do Jiu-Jitsu. Ela exige decisão de modelagem antes de ser combinada com a sequência adulta.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1" t="str">
        <x:v>6</x:v>
      </x:c>
      <x:c r="B12" s="14" t="str">
        <x:v>As graduações de Karatê são uma referência Shotokan. As cores e critérios variam conforme estilo, escola e federação.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1" t="str">
        <x:v>7</x:v>
      </x:c>
      <x:c r="B13" s="14" t="str">
        <x:v>Confirme as regras com a entidade responsável antes de usar o catálogo em exames, campeonatos ou filiações.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5"/>
      <x:c r="B14" s="15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 t="str">
        <x:v>Campo da aba Carga</x:v>
      </x:c>
      <x:c r="B15" s="13" t="str">
        <x:v>Destino ou finalidade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5" t="str">
        <x:v>modalidade</x:v>
      </x:c>
      <x:c r="B16" s="14" t="str">
        <x:v>Localiza ou cria a modalidade da associação antes das graduações.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5" t="str">
        <x:v>name</x:v>
      </x:c>
      <x:c r="B17" s="14" t="str">
        <x:v>Chave técnica única dentro da modalidade.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5" t="str">
        <x:v>display_name</x:v>
      </x:c>
      <x:c r="B18" s="14" t="str">
        <x:v>Nome apresentado aos usuários.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5" t="str">
        <x:v>sort_order</x:v>
      </x:c>
      <x:c r="B19" s="14" t="str">
        <x:v>Ordem crescente da progressão. Deve ser única na modalidade.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8" customHeight="1">
      <x:c r="A20" s="14" t="str">
        <x:v>color_name, minimum_age,
minimum_months, status</x:v>
      </x:c>
      <x:c r="B20" s="14" t="str">
        <x:v>Campos existentes na tabela ranks.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8" customHeight="1">
      <x:c r="A21" s="14" t="str">
        <x:v>template, revisão,
observações e fonte</x:v>
      </x:c>
      <x:c r="B21" s="14" t="str">
        <x:v>Metadados de conferência. Não pertencem à tabela ranks.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2" hidden="0" customWidth="1"/>
    <x:col min="5" max="5" width="18" hidden="0" customWidth="1"/>
    <x:col min="6" max="6" width="14" hidden="0" customWidth="1"/>
    <x:col min="7" max="7" width="17" hidden="0" customWidth="1"/>
    <x:col min="8" max="8" width="12" hidden="0" customWidth="1"/>
    <x:col min="9" max="9" width="31" hidden="0" customWidth="1"/>
    <x:col min="10" max="10" width="20" hidden="0" customWidth="1"/>
    <x:col min="11" max="11" width="48" hidden="0" customWidth="1"/>
    <x:col min="12" max="12" width="12" hidden="0" customWidth="1"/>
    <x:col min="13" max="13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Graduações para carga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Edite os campos conforme a entidade adotada. Metadados de revisão não pertencem à tabela ranks.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" t="str">
        <x:v>Campos de carga</x:v>
      </x:c>
      <x:c r="B5" s="9" t="str"/>
      <x:c r="C5" s="9" t="str"/>
      <x:c r="D5" s="9" t="str"/>
      <x:c r="E5" s="9" t="str"/>
      <x:c r="F5" s="9" t="str"/>
      <x:c r="G5" s="9" t="str"/>
      <x:c r="H5" s="9" t="str"/>
      <x:c r="I5" s="22" t="str">
        <x:v>Metadados para revisão</x:v>
      </x:c>
      <x:c r="J5" s="22" t="str"/>
      <x:c r="K5" s="22" t="str"/>
      <x:c r="L5" s="22" t="str"/>
      <x:c r="M5" s="24" t="str">
        <x:v>Checagem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modalidade</x:v>
      </x:c>
      <x:c r="B6" s="18" t="str">
        <x:v>name</x:v>
      </x:c>
      <x:c r="C6" s="18" t="str">
        <x:v>display_name</x:v>
      </x:c>
      <x:c r="D6" s="18" t="str">
        <x:v>sort_order</x:v>
      </x:c>
      <x:c r="E6" s="18" t="str">
        <x:v>color_name</x:v>
      </x:c>
      <x:c r="F6" s="18" t="str">
        <x:v>minimum_age</x:v>
      </x:c>
      <x:c r="G6" s="18" t="str">
        <x:v>minimum_months</x:v>
      </x:c>
      <x:c r="H6" s="18" t="str">
        <x:v>status</x:v>
      </x:c>
      <x:c r="I6" s="18" t="str">
        <x:v>template</x:v>
      </x:c>
      <x:c r="J6" s="18" t="str">
        <x:v>revisao_obrigatoria</x:v>
      </x:c>
      <x:c r="K6" s="18" t="str">
        <x:v>observacoes</x:v>
      </x:c>
      <x:c r="L6" s="18" t="str">
        <x:v>fonte_id</x:v>
      </x:c>
      <x:c r="M6" s="18" t="str">
        <x:v>validacao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v>Judô</x:v>
      </x:c>
      <x:c r="B7" s="15" t="str">
        <x:v>iniciante</x:v>
      </x:c>
      <x:c r="C7" s="14" t="str">
        <x:v>Faixa branca — iniciante</x:v>
      </x:c>
      <x:c r="D7" s="19" t="n">
        <x:v>1</x:v>
      </x:c>
      <x:c r="E7" s="15" t="str">
        <x:v>Branca</x:v>
      </x:c>
      <x:c r="F7" s="19"/>
      <x:c r="G7" s="19"/>
      <x:c r="H7" s="15" t="str">
        <x:v>active</x:v>
      </x:c>
      <x:c r="I7" s="14" t="str">
        <x:v>Judô CBJ 2023</x:v>
      </x:c>
      <x:c r="J7" s="20" t="str">
        <x:v>Não</x:v>
      </x:c>
      <x:c r="K7" s="14" t="str">
        <x:v>Graduação inicial.</x:v>
      </x:c>
      <x:c r="L7" s="14" t="str">
        <x:v>F1</x:v>
      </x:c>
      <x:c r="M7" s="15" t="str">
        <x:f>IF(OR(A7="",B7="",C7="",D7="",H7=""),"Preencher campos obrigatórios",IF(COUNTIFS($A$7:$A$42,A7,$B$7:$B$42,B7)&gt;1,"Nome duplicado na modalidade",IF(COUNTIFS($A$7:$A$42,A7,$D$7:$D$42,D7)&gt;1,"Ordem duplicada na modalidade","OK")))</x:f>
        <x:v>OK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Judô</x:v>
      </x:c>
      <x:c r="B8" s="15" t="str">
        <x:v>11-kyu</x:v>
      </x:c>
      <x:c r="C8" s="14" t="str">
        <x:v>11º Kyū — branca/cinza</x:v>
      </x:c>
      <x:c r="D8" s="19" t="n">
        <x:v>2</x:v>
      </x:c>
      <x:c r="E8" s="15" t="str">
        <x:v>Branca/Cinza</x:v>
      </x:c>
      <x:c r="F8" s="19" t="n">
        <x:v>4</x:v>
      </x:c>
      <x:c r="G8" s="19" t="n">
        <x:v>3</x:v>
      </x:c>
      <x:c r="H8" s="15" t="str">
        <x:v>active</x:v>
      </x:c>
      <x:c r="I8" s="14" t="str">
        <x:v>Judô CBJ 2023</x:v>
      </x:c>
      <x:c r="J8" s="20" t="str">
        <x:v>Não</x:v>
      </x:c>
      <x:c r="K8" s="14" t="str">
        <x:v>Interstício mínimo na graduação anterior.</x:v>
      </x:c>
      <x:c r="L8" s="14" t="str">
        <x:v>F1</x:v>
      </x:c>
      <x:c r="M8" s="15" t="str">
        <x:f>IF(OR(A8="",B8="",C8="",D8="",H8=""),"Preencher campos obrigatórios",IF(COUNTIFS($A$7:$A$42,A8,$B$7:$B$42,B8)&gt;1,"Nome duplicado na modalidade",IF(COUNTIFS($A$7:$A$42,A8,$D$7:$D$42,D8)&gt;1,"Ordem duplicada na modalidade","OK")))</x:f>
        <x:v>OK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Judô</x:v>
      </x:c>
      <x:c r="B9" s="15" t="str">
        <x:v>10-kyu</x:v>
      </x:c>
      <x:c r="C9" s="14" t="str">
        <x:v>10º Kyū — cinza</x:v>
      </x:c>
      <x:c r="D9" s="19" t="n">
        <x:v>3</x:v>
      </x:c>
      <x:c r="E9" s="15" t="str">
        <x:v>Cinza</x:v>
      </x:c>
      <x:c r="F9" s="19" t="n">
        <x:v>5</x:v>
      </x:c>
      <x:c r="G9" s="19" t="n">
        <x:v>3</x:v>
      </x:c>
      <x:c r="H9" s="15" t="str">
        <x:v>active</x:v>
      </x:c>
      <x:c r="I9" s="14" t="str">
        <x:v>Judô CBJ 2023</x:v>
      </x:c>
      <x:c r="J9" s="20" t="str">
        <x:v>Não</x:v>
      </x:c>
      <x:c r="K9" s="14" t="str">
        <x:v>Interstício mínimo na graduação anterior.</x:v>
      </x:c>
      <x:c r="L9" s="14" t="str">
        <x:v>F1</x:v>
      </x:c>
      <x:c r="M9" s="15" t="str">
        <x:f>IF(OR(A9="",B9="",C9="",D9="",H9=""),"Preencher campos obrigatórios",IF(COUNTIFS($A$7:$A$42,A9,$B$7:$B$42,B9)&gt;1,"Nome duplicado na modalidade",IF(COUNTIFS($A$7:$A$42,A9,$D$7:$D$42,D9)&gt;1,"Ordem duplicada na modalidade","OK")))</x:f>
        <x:v>OK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str">
        <x:v>Judô</x:v>
      </x:c>
      <x:c r="B10" s="15" t="str">
        <x:v>9-kyu</x:v>
      </x:c>
      <x:c r="C10" s="14" t="str">
        <x:v>9º Kyū — cinza/azul</x:v>
      </x:c>
      <x:c r="D10" s="19" t="n">
        <x:v>4</x:v>
      </x:c>
      <x:c r="E10" s="15" t="str">
        <x:v>Cinza/Azul</x:v>
      </x:c>
      <x:c r="F10" s="19" t="n">
        <x:v>6</x:v>
      </x:c>
      <x:c r="G10" s="19" t="n">
        <x:v>6</x:v>
      </x:c>
      <x:c r="H10" s="15" t="str">
        <x:v>active</x:v>
      </x:c>
      <x:c r="I10" s="14" t="str">
        <x:v>Judô CBJ 2023</x:v>
      </x:c>
      <x:c r="J10" s="20" t="str">
        <x:v>Não</x:v>
      </x:c>
      <x:c r="K10" s="14" t="str">
        <x:v>Interstício mínimo na graduação anterior.</x:v>
      </x:c>
      <x:c r="L10" s="14" t="str">
        <x:v>F1</x:v>
      </x:c>
      <x:c r="M10" s="15" t="str">
        <x:f>IF(OR(A10="",B10="",C10="",D10="",H10=""),"Preencher campos obrigatórios",IF(COUNTIFS($A$7:$A$42,A10,$B$7:$B$42,B10)&gt;1,"Nome duplicado na modalidade",IF(COUNTIFS($A$7:$A$42,A10,$D$7:$D$42,D10)&gt;1,"Ordem duplicada na modalidade","OK")))</x:f>
        <x:v>OK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" t="str">
        <x:v>Judô</x:v>
      </x:c>
      <x:c r="B11" s="15" t="str">
        <x:v>8-kyu</x:v>
      </x:c>
      <x:c r="C11" s="14" t="str">
        <x:v>8º Kyū — azul</x:v>
      </x:c>
      <x:c r="D11" s="19" t="n">
        <x:v>5</x:v>
      </x:c>
      <x:c r="E11" s="15" t="str">
        <x:v>Azul</x:v>
      </x:c>
      <x:c r="F11" s="19" t="n">
        <x:v>7</x:v>
      </x:c>
      <x:c r="G11" s="19" t="n">
        <x:v>6</x:v>
      </x:c>
      <x:c r="H11" s="15" t="str">
        <x:v>active</x:v>
      </x:c>
      <x:c r="I11" s="14" t="str">
        <x:v>Judô CBJ 2023</x:v>
      </x:c>
      <x:c r="J11" s="20" t="str">
        <x:v>Não</x:v>
      </x:c>
      <x:c r="K11" s="14" t="str">
        <x:v>Interstício mínimo na graduação anterior.</x:v>
      </x:c>
      <x:c r="L11" s="14" t="str">
        <x:v>F1</x:v>
      </x:c>
      <x:c r="M11" s="15" t="str">
        <x:f>IF(OR(A11="",B11="",C11="",D11="",H11=""),"Preencher campos obrigatórios",IF(COUNTIFS($A$7:$A$42,A11,$B$7:$B$42,B11)&gt;1,"Nome duplicado na modalidade",IF(COUNTIFS($A$7:$A$42,A11,$D$7:$D$42,D11)&gt;1,"Ordem duplicada na modalidade","OK")))</x:f>
        <x:v>OK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5" t="str">
        <x:v>Judô</x:v>
      </x:c>
      <x:c r="B12" s="15" t="str">
        <x:v>7-kyu</x:v>
      </x:c>
      <x:c r="C12" s="14" t="str">
        <x:v>7º Kyū — azul/amarela</x:v>
      </x:c>
      <x:c r="D12" s="19" t="n">
        <x:v>6</x:v>
      </x:c>
      <x:c r="E12" s="15" t="str">
        <x:v>Azul/Amarela</x:v>
      </x:c>
      <x:c r="F12" s="19" t="n">
        <x:v>8</x:v>
      </x:c>
      <x:c r="G12" s="19" t="n">
        <x:v>6</x:v>
      </x:c>
      <x:c r="H12" s="15" t="str">
        <x:v>active</x:v>
      </x:c>
      <x:c r="I12" s="14" t="str">
        <x:v>Judô CBJ 2023</x:v>
      </x:c>
      <x:c r="J12" s="20" t="str">
        <x:v>Não</x:v>
      </x:c>
      <x:c r="K12" s="14" t="str">
        <x:v>Interstício mínimo na graduação anterior.</x:v>
      </x:c>
      <x:c r="L12" s="14" t="str">
        <x:v>F1</x:v>
      </x:c>
      <x:c r="M12" s="15" t="str">
        <x:f>IF(OR(A12="",B12="",C12="",D12="",H12=""),"Preencher campos obrigatórios",IF(COUNTIFS($A$7:$A$42,A12,$B$7:$B$42,B12)&gt;1,"Nome duplicado na modalidade",IF(COUNTIFS($A$7:$A$42,A12,$D$7:$D$42,D12)&gt;1,"Ordem duplicada na modalidade","OK")))</x:f>
        <x:v>OK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5" t="str">
        <x:v>Judô</x:v>
      </x:c>
      <x:c r="B13" s="15" t="str">
        <x:v>6-kyu</x:v>
      </x:c>
      <x:c r="C13" s="14" t="str">
        <x:v>6º Kyū — amarela</x:v>
      </x:c>
      <x:c r="D13" s="19" t="n">
        <x:v>7</x:v>
      </x:c>
      <x:c r="E13" s="15" t="str">
        <x:v>Amarela</x:v>
      </x:c>
      <x:c r="F13" s="19" t="n">
        <x:v>9</x:v>
      </x:c>
      <x:c r="G13" s="19" t="n">
        <x:v>6</x:v>
      </x:c>
      <x:c r="H13" s="15" t="str">
        <x:v>active</x:v>
      </x:c>
      <x:c r="I13" s="14" t="str">
        <x:v>Judô CBJ 2023</x:v>
      </x:c>
      <x:c r="J13" s="20" t="str">
        <x:v>Não</x:v>
      </x:c>
      <x:c r="K13" s="14" t="str">
        <x:v>Interstício mínimo na graduação anterior.</x:v>
      </x:c>
      <x:c r="L13" s="14" t="str">
        <x:v>F1</x:v>
      </x:c>
      <x:c r="M13" s="15" t="str">
        <x:f>IF(OR(A13="",B13="",C13="",D13="",H13=""),"Preencher campos obrigatórios",IF(COUNTIFS($A$7:$A$42,A13,$B$7:$B$42,B13)&gt;1,"Nome duplicado na modalidade",IF(COUNTIFS($A$7:$A$42,A13,$D$7:$D$42,D13)&gt;1,"Ordem duplicada na modalidade","OK")))</x:f>
        <x:v>OK</x:v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5" t="str">
        <x:v>Judô</x:v>
      </x:c>
      <x:c r="B14" s="15" t="str">
        <x:v>5-kyu</x:v>
      </x:c>
      <x:c r="C14" s="14" t="str">
        <x:v>5º Kyū — amarela/laranja</x:v>
      </x:c>
      <x:c r="D14" s="19" t="n">
        <x:v>8</x:v>
      </x:c>
      <x:c r="E14" s="15" t="str">
        <x:v>Amarela/Laranja</x:v>
      </x:c>
      <x:c r="F14" s="19" t="n">
        <x:v>10</x:v>
      </x:c>
      <x:c r="G14" s="19" t="n">
        <x:v>12</x:v>
      </x:c>
      <x:c r="H14" s="15" t="str">
        <x:v>active</x:v>
      </x:c>
      <x:c r="I14" s="14" t="str">
        <x:v>Judô CBJ 2023</x:v>
      </x:c>
      <x:c r="J14" s="20" t="str">
        <x:v>Não</x:v>
      </x:c>
      <x:c r="K14" s="14" t="str">
        <x:v>Interstício mínimo na graduação anterior.</x:v>
      </x:c>
      <x:c r="L14" s="14" t="str">
        <x:v>F1</x:v>
      </x:c>
      <x:c r="M14" s="15" t="str">
        <x:f>IF(OR(A14="",B14="",C14="",D14="",H14=""),"Preencher campos obrigatórios",IF(COUNTIFS($A$7:$A$42,A14,$B$7:$B$42,B14)&gt;1,"Nome duplicado na modalidade",IF(COUNTIFS($A$7:$A$42,A14,$D$7:$D$42,D14)&gt;1,"Ordem duplicada na modalidade","OK")))</x:f>
        <x:v>OK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5" t="str">
        <x:v>Judô</x:v>
      </x:c>
      <x:c r="B15" s="15" t="str">
        <x:v>4-kyu</x:v>
      </x:c>
      <x:c r="C15" s="14" t="str">
        <x:v>4º Kyū — laranja</x:v>
      </x:c>
      <x:c r="D15" s="19" t="n">
        <x:v>9</x:v>
      </x:c>
      <x:c r="E15" s="15" t="str">
        <x:v>Laranja</x:v>
      </x:c>
      <x:c r="F15" s="19" t="n">
        <x:v>11</x:v>
      </x:c>
      <x:c r="G15" s="19" t="n">
        <x:v>12</x:v>
      </x:c>
      <x:c r="H15" s="15" t="str">
        <x:v>active</x:v>
      </x:c>
      <x:c r="I15" s="14" t="str">
        <x:v>Judô CBJ 2023</x:v>
      </x:c>
      <x:c r="J15" s="20" t="str">
        <x:v>Não</x:v>
      </x:c>
      <x:c r="K15" s="14" t="str">
        <x:v>Interstício mínimo na graduação anterior.</x:v>
      </x:c>
      <x:c r="L15" s="14" t="str">
        <x:v>F1</x:v>
      </x:c>
      <x:c r="M15" s="15" t="str">
        <x:f>IF(OR(A15="",B15="",C15="",D15="",H15=""),"Preencher campos obrigatórios",IF(COUNTIFS($A$7:$A$42,A15,$B$7:$B$42,B15)&gt;1,"Nome duplicado na modalidade",IF(COUNTIFS($A$7:$A$42,A15,$D$7:$D$42,D15)&gt;1,"Ordem duplicada na modalidade","OK")))</x:f>
        <x:v>OK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5" t="str">
        <x:v>Judô</x:v>
      </x:c>
      <x:c r="B16" s="15" t="str">
        <x:v>3-kyu</x:v>
      </x:c>
      <x:c r="C16" s="14" t="str">
        <x:v>3º Kyū — verde</x:v>
      </x:c>
      <x:c r="D16" s="19" t="n">
        <x:v>10</x:v>
      </x:c>
      <x:c r="E16" s="15" t="str">
        <x:v>Verde</x:v>
      </x:c>
      <x:c r="F16" s="19" t="n">
        <x:v>12</x:v>
      </x:c>
      <x:c r="G16" s="19" t="n">
        <x:v>12</x:v>
      </x:c>
      <x:c r="H16" s="15" t="str">
        <x:v>active</x:v>
      </x:c>
      <x:c r="I16" s="14" t="str">
        <x:v>Judô CBJ 2023</x:v>
      </x:c>
      <x:c r="J16" s="20" t="str">
        <x:v>Não</x:v>
      </x:c>
      <x:c r="K16" s="14" t="str">
        <x:v>Interstício mínimo na graduação anterior.</x:v>
      </x:c>
      <x:c r="L16" s="14" t="str">
        <x:v>F1</x:v>
      </x:c>
      <x:c r="M16" s="15" t="str">
        <x:f>IF(OR(A16="",B16="",C16="",D16="",H16=""),"Preencher campos obrigatórios",IF(COUNTIFS($A$7:$A$42,A16,$B$7:$B$42,B16)&gt;1,"Nome duplicado na modalidade",IF(COUNTIFS($A$7:$A$42,A16,$D$7:$D$42,D16)&gt;1,"Ordem duplicada na modalidade","OK")))</x:f>
        <x:v>OK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5" t="str">
        <x:v>Judô</x:v>
      </x:c>
      <x:c r="B17" s="15" t="str">
        <x:v>2-kyu</x:v>
      </x:c>
      <x:c r="C17" s="14" t="str">
        <x:v>2º Kyū — roxa</x:v>
      </x:c>
      <x:c r="D17" s="19" t="n">
        <x:v>11</x:v>
      </x:c>
      <x:c r="E17" s="15" t="str">
        <x:v>Roxa</x:v>
      </x:c>
      <x:c r="F17" s="19" t="n">
        <x:v>13</x:v>
      </x:c>
      <x:c r="G17" s="19" t="n">
        <x:v>12</x:v>
      </x:c>
      <x:c r="H17" s="15" t="str">
        <x:v>active</x:v>
      </x:c>
      <x:c r="I17" s="14" t="str">
        <x:v>Judô CBJ 2023</x:v>
      </x:c>
      <x:c r="J17" s="20" t="str">
        <x:v>Não</x:v>
      </x:c>
      <x:c r="K17" s="14" t="str">
        <x:v>Interstício mínimo na graduação anterior.</x:v>
      </x:c>
      <x:c r="L17" s="14" t="str">
        <x:v>F1</x:v>
      </x:c>
      <x:c r="M17" s="15" t="str">
        <x:f>IF(OR(A17="",B17="",C17="",D17="",H17=""),"Preencher campos obrigatórios",IF(COUNTIFS($A$7:$A$42,A17,$B$7:$B$42,B17)&gt;1,"Nome duplicado na modalidade",IF(COUNTIFS($A$7:$A$42,A17,$D$7:$D$42,D17)&gt;1,"Ordem duplicada na modalidade","OK")))</x:f>
        <x:v>OK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5" t="str">
        <x:v>Judô</x:v>
      </x:c>
      <x:c r="B18" s="15" t="str">
        <x:v>1-kyu</x:v>
      </x:c>
      <x:c r="C18" s="14" t="str">
        <x:v>1º Kyū — marrom</x:v>
      </x:c>
      <x:c r="D18" s="19" t="n">
        <x:v>12</x:v>
      </x:c>
      <x:c r="E18" s="15" t="str">
        <x:v>Marrom</x:v>
      </x:c>
      <x:c r="F18" s="19" t="n">
        <x:v>14</x:v>
      </x:c>
      <x:c r="G18" s="19" t="n">
        <x:v>12</x:v>
      </x:c>
      <x:c r="H18" s="15" t="str">
        <x:v>active</x:v>
      </x:c>
      <x:c r="I18" s="14" t="str">
        <x:v>Judô CBJ 2023</x:v>
      </x:c>
      <x:c r="J18" s="20" t="str">
        <x:v>Não</x:v>
      </x:c>
      <x:c r="K18" s="14" t="str">
        <x:v>Interstício mínimo na graduação anterior.</x:v>
      </x:c>
      <x:c r="L18" s="14" t="str">
        <x:v>F1</x:v>
      </x:c>
      <x:c r="M18" s="15" t="str">
        <x:f>IF(OR(A18="",B18="",C18="",D18="",H18=""),"Preencher campos obrigatórios",IF(COUNTIFS($A$7:$A$42,A18,$B$7:$B$42,B18)&gt;1,"Nome duplicado na modalidade",IF(COUNTIFS($A$7:$A$42,A18,$D$7:$D$42,D18)&gt;1,"Ordem duplicada na modalidade","OK")))</x:f>
        <x:v>OK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5" t="str">
        <x:v>Judô</x:v>
      </x:c>
      <x:c r="B19" s="15" t="str">
        <x:v>1-dan</x:v>
      </x:c>
      <x:c r="C19" s="14" t="str">
        <x:v>1º Dan — faixa preta</x:v>
      </x:c>
      <x:c r="D19" s="19" t="n">
        <x:v>13</x:v>
      </x:c>
      <x:c r="E19" s="15" t="str">
        <x:v>Preta</x:v>
      </x:c>
      <x:c r="F19" s="19" t="n">
        <x:v>16</x:v>
      </x:c>
      <x:c r="G19" s="19"/>
      <x:c r="H19" s="15" t="str">
        <x:v>active</x:v>
      </x:c>
      <x:c r="I19" s="14" t="str">
        <x:v>Judô CBJ 2023</x:v>
      </x:c>
      <x:c r="J19" s="20" t="str">
        <x:v>Sim</x:v>
      </x:c>
      <x:c r="K19" s="14" t="str">
        <x:v>Confirmar carência e homologação na federação.</x:v>
      </x:c>
      <x:c r="L19" s="14" t="str">
        <x:v>F1</x:v>
      </x:c>
      <x:c r="M19" s="15" t="str">
        <x:f>IF(OR(A19="",B19="",C19="",D19="",H19=""),"Preencher campos obrigatórios",IF(COUNTIFS($A$7:$A$42,A19,$B$7:$B$42,B19)&gt;1,"Nome duplicado na modalidade",IF(COUNTIFS($A$7:$A$42,A19,$D$7:$D$42,D19)&gt;1,"Ordem duplicada na modalidade","OK")))</x:f>
        <x:v>OK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5" t="str">
        <x:v>Judô</x:v>
      </x:c>
      <x:c r="B20" s="15" t="str">
        <x:v>2-dan</x:v>
      </x:c>
      <x:c r="C20" s="14" t="str">
        <x:v>2º Dan — faixa preta</x:v>
      </x:c>
      <x:c r="D20" s="19" t="n">
        <x:v>14</x:v>
      </x:c>
      <x:c r="E20" s="15" t="str">
        <x:v>Preta</x:v>
      </x:c>
      <x:c r="F20" s="19"/>
      <x:c r="G20" s="19"/>
      <x:c r="H20" s="15" t="str">
        <x:v>active</x:v>
      </x:c>
      <x:c r="I20" s="14" t="str">
        <x:v>Judô CBJ 2023</x:v>
      </x:c>
      <x:c r="J20" s="20" t="str">
        <x:v>Sim</x:v>
      </x:c>
      <x:c r="K20" s="14" t="str">
        <x:v>Confirmar idade, carência e homologação.</x:v>
      </x:c>
      <x:c r="L20" s="14" t="str">
        <x:v>F1</x:v>
      </x:c>
      <x:c r="M20" s="15" t="str">
        <x:f>IF(OR(A20="",B20="",C20="",D20="",H20=""),"Preencher campos obrigatórios",IF(COUNTIFS($A$7:$A$42,A20,$B$7:$B$42,B20)&gt;1,"Nome duplicado na modalidade",IF(COUNTIFS($A$7:$A$42,A20,$D$7:$D$42,D20)&gt;1,"Ordem duplicada na modalidade","OK")))</x:f>
        <x:v>OK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5" t="str">
        <x:v>Judô</x:v>
      </x:c>
      <x:c r="B21" s="15" t="str">
        <x:v>3-dan</x:v>
      </x:c>
      <x:c r="C21" s="14" t="str">
        <x:v>3º Dan — faixa preta</x:v>
      </x:c>
      <x:c r="D21" s="19" t="n">
        <x:v>15</x:v>
      </x:c>
      <x:c r="E21" s="15" t="str">
        <x:v>Preta</x:v>
      </x:c>
      <x:c r="F21" s="19"/>
      <x:c r="G21" s="19"/>
      <x:c r="H21" s="15" t="str">
        <x:v>active</x:v>
      </x:c>
      <x:c r="I21" s="14" t="str">
        <x:v>Judô CBJ 2023</x:v>
      </x:c>
      <x:c r="J21" s="20" t="str">
        <x:v>Sim</x:v>
      </x:c>
      <x:c r="K21" s="14" t="str">
        <x:v>Confirmar idade, carência e homologação.</x:v>
      </x:c>
      <x:c r="L21" s="14" t="str">
        <x:v>F1</x:v>
      </x:c>
      <x:c r="M21" s="15" t="str">
        <x:f>IF(OR(A21="",B21="",C21="",D21="",H21=""),"Preencher campos obrigatórios",IF(COUNTIFS($A$7:$A$42,A21,$B$7:$B$42,B21)&gt;1,"Nome duplicado na modalidade",IF(COUNTIFS($A$7:$A$42,A21,$D$7:$D$42,D21)&gt;1,"Ordem duplicada na modalidade","OK")))</x:f>
        <x:v>OK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5" t="str">
        <x:v>Judô</x:v>
      </x:c>
      <x:c r="B22" s="15" t="str">
        <x:v>4-dan</x:v>
      </x:c>
      <x:c r="C22" s="14" t="str">
        <x:v>4º Dan — faixa preta</x:v>
      </x:c>
      <x:c r="D22" s="19" t="n">
        <x:v>16</x:v>
      </x:c>
      <x:c r="E22" s="15" t="str">
        <x:v>Preta</x:v>
      </x:c>
      <x:c r="F22" s="19"/>
      <x:c r="G22" s="19"/>
      <x:c r="H22" s="15" t="str">
        <x:v>active</x:v>
      </x:c>
      <x:c r="I22" s="14" t="str">
        <x:v>Judô CBJ 2023</x:v>
      </x:c>
      <x:c r="J22" s="20" t="str">
        <x:v>Sim</x:v>
      </x:c>
      <x:c r="K22" s="14" t="str">
        <x:v>Confirmar idade, carência e homologação.</x:v>
      </x:c>
      <x:c r="L22" s="14" t="str">
        <x:v>F1</x:v>
      </x:c>
      <x:c r="M22" s="15" t="str">
        <x:f>IF(OR(A22="",B22="",C22="",D22="",H22=""),"Preencher campos obrigatórios",IF(COUNTIFS($A$7:$A$42,A22,$B$7:$B$42,B22)&gt;1,"Nome duplicado na modalidade",IF(COUNTIFS($A$7:$A$42,A22,$D$7:$D$42,D22)&gt;1,"Ordem duplicada na modalidade","OK")))</x:f>
        <x:v>OK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5" t="str">
        <x:v>Judô</x:v>
      </x:c>
      <x:c r="B23" s="15" t="str">
        <x:v>5-dan</x:v>
      </x:c>
      <x:c r="C23" s="14" t="str">
        <x:v>5º Dan — faixa preta</x:v>
      </x:c>
      <x:c r="D23" s="19" t="n">
        <x:v>17</x:v>
      </x:c>
      <x:c r="E23" s="15" t="str">
        <x:v>Preta</x:v>
      </x:c>
      <x:c r="F23" s="19"/>
      <x:c r="G23" s="19"/>
      <x:c r="H23" s="15" t="str">
        <x:v>active</x:v>
      </x:c>
      <x:c r="I23" s="14" t="str">
        <x:v>Judô CBJ 2023</x:v>
      </x:c>
      <x:c r="J23" s="20" t="str">
        <x:v>Sim</x:v>
      </x:c>
      <x:c r="K23" s="14" t="str">
        <x:v>Confirmar idade, carência e homologação.</x:v>
      </x:c>
      <x:c r="L23" s="14" t="str">
        <x:v>F1</x:v>
      </x:c>
      <x:c r="M23" s="15" t="str">
        <x:f>IF(OR(A23="",B23="",C23="",D23="",H23=""),"Preencher campos obrigatórios",IF(COUNTIFS($A$7:$A$42,A23,$B$7:$B$42,B23)&gt;1,"Nome duplicado na modalidade",IF(COUNTIFS($A$7:$A$42,A23,$D$7:$D$42,D23)&gt;1,"Ordem duplicada na modalidade","OK")))</x:f>
        <x:v>OK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5" t="str">
        <x:v>Judô</x:v>
      </x:c>
      <x:c r="B24" s="15" t="str">
        <x:v>6-dan</x:v>
      </x:c>
      <x:c r="C24" s="14" t="str">
        <x:v>6º Dan — faixa vermelha e branca</x:v>
      </x:c>
      <x:c r="D24" s="19" t="n">
        <x:v>18</x:v>
      </x:c>
      <x:c r="E24" s="15" t="str">
        <x:v>Vermelha/Branca</x:v>
      </x:c>
      <x:c r="F24" s="19"/>
      <x:c r="G24" s="19"/>
      <x:c r="H24" s="15" t="str">
        <x:v>active</x:v>
      </x:c>
      <x:c r="I24" s="14" t="str">
        <x:v>Judô CBJ 2023</x:v>
      </x:c>
      <x:c r="J24" s="20" t="str">
        <x:v>Sim</x:v>
      </x:c>
      <x:c r="K24" s="14" t="str">
        <x:v>Graduação superior sujeita a outorga e homologação.</x:v>
      </x:c>
      <x:c r="L24" s="14" t="str">
        <x:v>F1</x:v>
      </x:c>
      <x:c r="M24" s="15" t="str">
        <x:f>IF(OR(A24="",B24="",C24="",D24="",H24=""),"Preencher campos obrigatórios",IF(COUNTIFS($A$7:$A$42,A24,$B$7:$B$42,B24)&gt;1,"Nome duplicado na modalidade",IF(COUNTIFS($A$7:$A$42,A24,$D$7:$D$42,D24)&gt;1,"Ordem duplicada na modalidade","OK")))</x:f>
        <x:v>OK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5" t="str">
        <x:v>Judô</x:v>
      </x:c>
      <x:c r="B25" s="15" t="str">
        <x:v>7-dan</x:v>
      </x:c>
      <x:c r="C25" s="14" t="str">
        <x:v>7º Dan — faixa vermelha e branca</x:v>
      </x:c>
      <x:c r="D25" s="19" t="n">
        <x:v>19</x:v>
      </x:c>
      <x:c r="E25" s="15" t="str">
        <x:v>Vermelha/Branca</x:v>
      </x:c>
      <x:c r="F25" s="19"/>
      <x:c r="G25" s="19"/>
      <x:c r="H25" s="15" t="str">
        <x:v>active</x:v>
      </x:c>
      <x:c r="I25" s="14" t="str">
        <x:v>Judô CBJ 2023</x:v>
      </x:c>
      <x:c r="J25" s="20" t="str">
        <x:v>Sim</x:v>
      </x:c>
      <x:c r="K25" s="14" t="str">
        <x:v>Graduação superior sujeita a outorga e homologação.</x:v>
      </x:c>
      <x:c r="L25" s="14" t="str">
        <x:v>F1</x:v>
      </x:c>
      <x:c r="M25" s="15" t="str">
        <x:f>IF(OR(A25="",B25="",C25="",D25="",H25=""),"Preencher campos obrigatórios",IF(COUNTIFS($A$7:$A$42,A25,$B$7:$B$42,B25)&gt;1,"Nome duplicado na modalidade",IF(COUNTIFS($A$7:$A$42,A25,$D$7:$D$42,D25)&gt;1,"Ordem duplicada na modalidade","OK")))</x:f>
        <x:v>OK</x:v>
      </x:c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5" t="str">
        <x:v>Judô</x:v>
      </x:c>
      <x:c r="B26" s="15" t="str">
        <x:v>8-dan</x:v>
      </x:c>
      <x:c r="C26" s="14" t="str">
        <x:v>8º Dan — faixa vermelha e branca</x:v>
      </x:c>
      <x:c r="D26" s="19" t="n">
        <x:v>20</x:v>
      </x:c>
      <x:c r="E26" s="15" t="str">
        <x:v>Vermelha/Branca</x:v>
      </x:c>
      <x:c r="F26" s="19"/>
      <x:c r="G26" s="19"/>
      <x:c r="H26" s="15" t="str">
        <x:v>active</x:v>
      </x:c>
      <x:c r="I26" s="14" t="str">
        <x:v>Judô CBJ 2023</x:v>
      </x:c>
      <x:c r="J26" s="20" t="str">
        <x:v>Sim</x:v>
      </x:c>
      <x:c r="K26" s="14" t="str">
        <x:v>Graduação superior sujeita a outorga e homologação.</x:v>
      </x:c>
      <x:c r="L26" s="14" t="str">
        <x:v>F1</x:v>
      </x:c>
      <x:c r="M26" s="15" t="str">
        <x:f>IF(OR(A26="",B26="",C26="",D26="",H26=""),"Preencher campos obrigatórios",IF(COUNTIFS($A$7:$A$42,A26,$B$7:$B$42,B26)&gt;1,"Nome duplicado na modalidade",IF(COUNTIFS($A$7:$A$42,A26,$D$7:$D$42,D26)&gt;1,"Ordem duplicada na modalidade","OK")))</x:f>
        <x:v>OK</x:v>
      </x:c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5" t="str">
        <x:v>Judô</x:v>
      </x:c>
      <x:c r="B27" s="15" t="str">
        <x:v>9-dan</x:v>
      </x:c>
      <x:c r="C27" s="14" t="str">
        <x:v>9º Dan — faixa vermelha</x:v>
      </x:c>
      <x:c r="D27" s="19" t="n">
        <x:v>21</x:v>
      </x:c>
      <x:c r="E27" s="15" t="str">
        <x:v>Vermelha</x:v>
      </x:c>
      <x:c r="F27" s="19"/>
      <x:c r="G27" s="19"/>
      <x:c r="H27" s="15" t="str">
        <x:v>active</x:v>
      </x:c>
      <x:c r="I27" s="14" t="str">
        <x:v>Judô CBJ 2023</x:v>
      </x:c>
      <x:c r="J27" s="20" t="str">
        <x:v>Sim</x:v>
      </x:c>
      <x:c r="K27" s="14" t="str">
        <x:v>Graduação superior sujeita a outorga e homologação.</x:v>
      </x:c>
      <x:c r="L27" s="14" t="str">
        <x:v>F1</x:v>
      </x:c>
      <x:c r="M27" s="15" t="str">
        <x:f>IF(OR(A27="",B27="",C27="",D27="",H27=""),"Preencher campos obrigatórios",IF(COUNTIFS($A$7:$A$42,A27,$B$7:$B$42,B27)&gt;1,"Nome duplicado na modalidade",IF(COUNTIFS($A$7:$A$42,A27,$D$7:$D$42,D27)&gt;1,"Ordem duplicada na modalidade","OK")))</x:f>
        <x:v>OK</x:v>
      </x:c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5" t="str">
        <x:v>Judô</x:v>
      </x:c>
      <x:c r="B28" s="15" t="str">
        <x:v>10-dan</x:v>
      </x:c>
      <x:c r="C28" s="14" t="str">
        <x:v>10º Dan — faixa vermelha</x:v>
      </x:c>
      <x:c r="D28" s="19" t="n">
        <x:v>22</x:v>
      </x:c>
      <x:c r="E28" s="15" t="str">
        <x:v>Vermelha</x:v>
      </x:c>
      <x:c r="F28" s="19"/>
      <x:c r="G28" s="19"/>
      <x:c r="H28" s="15" t="str">
        <x:v>active</x:v>
      </x:c>
      <x:c r="I28" s="14" t="str">
        <x:v>Judô CBJ 2023</x:v>
      </x:c>
      <x:c r="J28" s="20" t="str">
        <x:v>Sim</x:v>
      </x:c>
      <x:c r="K28" s="14" t="str">
        <x:v>Graduação superior sujeita a outorga e homologação.</x:v>
      </x:c>
      <x:c r="L28" s="14" t="str">
        <x:v>F1</x:v>
      </x:c>
      <x:c r="M28" s="15" t="str">
        <x:f>IF(OR(A28="",B28="",C28="",D28="",H28=""),"Preencher campos obrigatórios",IF(COUNTIFS($A$7:$A$42,A28,$B$7:$B$42,B28)&gt;1,"Nome duplicado na modalidade",IF(COUNTIFS($A$7:$A$42,A28,$D$7:$D$42,D28)&gt;1,"Ordem duplicada na modalidade","OK")))</x:f>
        <x:v>OK</x:v>
      </x:c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5" t="str">
        <x:v>Jiu-Jitsu Brasileiro</x:v>
      </x:c>
      <x:c r="B29" s="15" t="str">
        <x:v>branca</x:v>
      </x:c>
      <x:c r="C29" s="14" t="str">
        <x:v>Faixa branca</x:v>
      </x:c>
      <x:c r="D29" s="19" t="n">
        <x:v>1</x:v>
      </x:c>
      <x:c r="E29" s="15" t="str">
        <x:v>Branca</x:v>
      </x:c>
      <x:c r="F29" s="19"/>
      <x:c r="G29" s="19"/>
      <x:c r="H29" s="15" t="str">
        <x:v>active</x:v>
      </x:c>
      <x:c r="I29" s="14" t="str">
        <x:v>Jiu-Jitsu adulto CBJJ/IBJJF 2026</x:v>
      </x:c>
      <x:c r="J29" s="20" t="str">
        <x:v>Sim</x:v>
      </x:c>
      <x:c r="K29" s="14" t="str">
        <x:v>Sequência adulta principal. Confirmar períodos mínimos vigentes.</x:v>
      </x:c>
      <x:c r="L29" s="14" t="str">
        <x:v>F2</x:v>
      </x:c>
      <x:c r="M29" s="15" t="str">
        <x:f>IF(OR(A29="",B29="",C29="",D29="",H29=""),"Preencher campos obrigatórios",IF(COUNTIFS($A$7:$A$42,A29,$B$7:$B$42,B29)&gt;1,"Nome duplicado na modalidade",IF(COUNTIFS($A$7:$A$42,A29,$D$7:$D$42,D29)&gt;1,"Ordem duplicada na modalidade","OK")))</x:f>
        <x:v>OK</x:v>
      </x:c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5" t="str">
        <x:v>Jiu-Jitsu Brasileiro</x:v>
      </x:c>
      <x:c r="B30" s="15" t="str">
        <x:v>azul</x:v>
      </x:c>
      <x:c r="C30" s="14" t="str">
        <x:v>Faixa azul</x:v>
      </x:c>
      <x:c r="D30" s="19" t="n">
        <x:v>2</x:v>
      </x:c>
      <x:c r="E30" s="15" t="str">
        <x:v>Azul</x:v>
      </x:c>
      <x:c r="F30" s="19" t="n">
        <x:v>16</x:v>
      </x:c>
      <x:c r="G30" s="19"/>
      <x:c r="H30" s="15" t="str">
        <x:v>active</x:v>
      </x:c>
      <x:c r="I30" s="14" t="str">
        <x:v>Jiu-Jitsu adulto CBJJ/IBJJF 2026</x:v>
      </x:c>
      <x:c r="J30" s="20" t="str">
        <x:v>Sim</x:v>
      </x:c>
      <x:c r="K30" s="14" t="str">
        <x:v>Idade mínima sujeita às regras da categoria e ano de nascimento.</x:v>
      </x:c>
      <x:c r="L30" s="14" t="str">
        <x:v>F2</x:v>
      </x:c>
      <x:c r="M30" s="15" t="str">
        <x:f>IF(OR(A30="",B30="",C30="",D30="",H30=""),"Preencher campos obrigatórios",IF(COUNTIFS($A$7:$A$42,A30,$B$7:$B$42,B30)&gt;1,"Nome duplicado na modalidade",IF(COUNTIFS($A$7:$A$42,A30,$D$7:$D$42,D30)&gt;1,"Ordem duplicada na modalidade","OK")))</x:f>
        <x:v>OK</x:v>
      </x:c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5" t="str">
        <x:v>Jiu-Jitsu Brasileiro</x:v>
      </x:c>
      <x:c r="B31" s="15" t="str">
        <x:v>roxa</x:v>
      </x:c>
      <x:c r="C31" s="14" t="str">
        <x:v>Faixa roxa</x:v>
      </x:c>
      <x:c r="D31" s="19" t="n">
        <x:v>3</x:v>
      </x:c>
      <x:c r="E31" s="15" t="str">
        <x:v>Roxa</x:v>
      </x:c>
      <x:c r="F31" s="19" t="n">
        <x:v>16</x:v>
      </x:c>
      <x:c r="G31" s="19"/>
      <x:c r="H31" s="15" t="str">
        <x:v>active</x:v>
      </x:c>
      <x:c r="I31" s="14" t="str">
        <x:v>Jiu-Jitsu adulto CBJJ/IBJJF 2026</x:v>
      </x:c>
      <x:c r="J31" s="20" t="str">
        <x:v>Sim</x:v>
      </x:c>
      <x:c r="K31" s="14" t="str">
        <x:v>Confirmar período mínimo e exceções vigentes.</x:v>
      </x:c>
      <x:c r="L31" s="14" t="str">
        <x:v>F2</x:v>
      </x:c>
      <x:c r="M31" s="15" t="str">
        <x:f>IF(OR(A31="",B31="",C31="",D31="",H31=""),"Preencher campos obrigatórios",IF(COUNTIFS($A$7:$A$42,A31,$B$7:$B$42,B31)&gt;1,"Nome duplicado na modalidade",IF(COUNTIFS($A$7:$A$42,A31,$D$7:$D$42,D31)&gt;1,"Ordem duplicada na modalidade","OK")))</x:f>
        <x:v>OK</x:v>
      </x:c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5" t="str">
        <x:v>Jiu-Jitsu Brasileiro</x:v>
      </x:c>
      <x:c r="B32" s="15" t="str">
        <x:v>marrom</x:v>
      </x:c>
      <x:c r="C32" s="14" t="str">
        <x:v>Faixa marrom</x:v>
      </x:c>
      <x:c r="D32" s="19" t="n">
        <x:v>4</x:v>
      </x:c>
      <x:c r="E32" s="15" t="str">
        <x:v>Marrom</x:v>
      </x:c>
      <x:c r="F32" s="19" t="n">
        <x:v>18</x:v>
      </x:c>
      <x:c r="G32" s="19"/>
      <x:c r="H32" s="15" t="str">
        <x:v>active</x:v>
      </x:c>
      <x:c r="I32" s="14" t="str">
        <x:v>Jiu-Jitsu adulto CBJJ/IBJJF 2026</x:v>
      </x:c>
      <x:c r="J32" s="20" t="str">
        <x:v>Sim</x:v>
      </x:c>
      <x:c r="K32" s="14" t="str">
        <x:v>Confirmar período mínimo e exceções vigentes.</x:v>
      </x:c>
      <x:c r="L32" s="14" t="str">
        <x:v>F2</x:v>
      </x:c>
      <x:c r="M32" s="15" t="str">
        <x:f>IF(OR(A32="",B32="",C32="",D32="",H32=""),"Preencher campos obrigatórios",IF(COUNTIFS($A$7:$A$42,A32,$B$7:$B$42,B32)&gt;1,"Nome duplicado na modalidade",IF(COUNTIFS($A$7:$A$42,A32,$D$7:$D$42,D32)&gt;1,"Ordem duplicada na modalidade","OK")))</x:f>
        <x:v>OK</x:v>
      </x:c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5" t="str">
        <x:v>Jiu-Jitsu Brasileiro</x:v>
      </x:c>
      <x:c r="B33" s="15" t="str">
        <x:v>preta</x:v>
      </x:c>
      <x:c r="C33" s="14" t="str">
        <x:v>Faixa preta</x:v>
      </x:c>
      <x:c r="D33" s="19" t="n">
        <x:v>5</x:v>
      </x:c>
      <x:c r="E33" s="15" t="str">
        <x:v>Preta</x:v>
      </x:c>
      <x:c r="F33" s="19" t="n">
        <x:v>18</x:v>
      </x:c>
      <x:c r="G33" s="19"/>
      <x:c r="H33" s="15" t="str">
        <x:v>active</x:v>
      </x:c>
      <x:c r="I33" s="14" t="str">
        <x:v>Jiu-Jitsu adulto CBJJ/IBJJF 2026</x:v>
      </x:c>
      <x:c r="J33" s="20" t="str">
        <x:v>Sim</x:v>
      </x:c>
      <x:c r="K33" s="14" t="str">
        <x:v>Graus da faixa preta exigem estrutura adicional ou catálogo específico.</x:v>
      </x:c>
      <x:c r="L33" s="14" t="str">
        <x:v>F2</x:v>
      </x:c>
      <x:c r="M33" s="15" t="str">
        <x:f>IF(OR(A33="",B33="",C33="",D33="",H33=""),"Preencher campos obrigatórios",IF(COUNTIFS($A$7:$A$42,A33,$B$7:$B$42,B33)&gt;1,"Nome duplicado na modalidade",IF(COUNTIFS($A$7:$A$42,A33,$D$7:$D$42,D33)&gt;1,"Ordem duplicada na modalidade","OK")))</x:f>
        <x:v>OK</x:v>
      </x:c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5" t="str">
        <x:v>Karatê</x:v>
      </x:c>
      <x:c r="B34" s="15" t="str">
        <x:v>iniciante</x:v>
      </x:c>
      <x:c r="C34" s="14" t="str">
        <x:v>Faixa branca — iniciante</x:v>
      </x:c>
      <x:c r="D34" s="19" t="n">
        <x:v>1</x:v>
      </x:c>
      <x:c r="E34" s="15" t="str">
        <x:v>Branca</x:v>
      </x:c>
      <x:c r="F34" s="19"/>
      <x:c r="G34" s="19"/>
      <x:c r="H34" s="15" t="str">
        <x:v>active</x:v>
      </x:c>
      <x:c r="I34" s="14" t="str">
        <x:v>Karatê Shotokan — referência CBKD 2026</x:v>
      </x:c>
      <x:c r="J34" s="20" t="str">
        <x:v>Sim</x:v>
      </x:c>
      <x:c r="K34" s="14" t="str">
        <x:v>Confirmar sequência com estilo e federação adotados.</x:v>
      </x:c>
      <x:c r="L34" s="14" t="str">
        <x:v>F3</x:v>
      </x:c>
      <x:c r="M34" s="15" t="str">
        <x:f>IF(OR(A34="",B34="",C34="",D34="",H34=""),"Preencher campos obrigatórios",IF(COUNTIFS($A$7:$A$42,A34,$B$7:$B$42,B34)&gt;1,"Nome duplicado na modalidade",IF(COUNTIFS($A$7:$A$42,A34,$D$7:$D$42,D34)&gt;1,"Ordem duplicada na modalidade","OK")))</x:f>
        <x:v>OK</x:v>
      </x:c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5" t="str">
        <x:v>Karatê</x:v>
      </x:c>
      <x:c r="B35" s="15" t="str">
        <x:v>7-kyu</x:v>
      </x:c>
      <x:c r="C35" s="14" t="str">
        <x:v>7º Kyū — cinza</x:v>
      </x:c>
      <x:c r="D35" s="19" t="n">
        <x:v>2</x:v>
      </x:c>
      <x:c r="E35" s="15" t="str">
        <x:v>Cinza</x:v>
      </x:c>
      <x:c r="F35" s="19"/>
      <x:c r="G35" s="19"/>
      <x:c r="H35" s="15" t="str">
        <x:v>active</x:v>
      </x:c>
      <x:c r="I35" s="14" t="str">
        <x:v>Karatê Shotokan — referência CBKD 2026</x:v>
      </x:c>
      <x:c r="J35" s="20" t="str">
        <x:v>Sim</x:v>
      </x:c>
      <x:c r="K35" s="14" t="str">
        <x:v>Graduação opcional na referência consultada.</x:v>
      </x:c>
      <x:c r="L35" s="14" t="str">
        <x:v>F3</x:v>
      </x:c>
      <x:c r="M35" s="15" t="str">
        <x:f>IF(OR(A35="",B35="",C35="",D35="",H35=""),"Preencher campos obrigatórios",IF(COUNTIFS($A$7:$A$42,A35,$B$7:$B$42,B35)&gt;1,"Nome duplicado na modalidade",IF(COUNTIFS($A$7:$A$42,A35,$D$7:$D$42,D35)&gt;1,"Ordem duplicada na modalidade","OK")))</x:f>
        <x:v>OK</x:v>
      </x:c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5" t="str">
        <x:v>Karatê</x:v>
      </x:c>
      <x:c r="B36" s="15" t="str">
        <x:v>6-kyu</x:v>
      </x:c>
      <x:c r="C36" s="14" t="str">
        <x:v>6º Kyū — amarela</x:v>
      </x:c>
      <x:c r="D36" s="19" t="n">
        <x:v>3</x:v>
      </x:c>
      <x:c r="E36" s="15" t="str">
        <x:v>Amarela</x:v>
      </x:c>
      <x:c r="F36" s="19"/>
      <x:c r="G36" s="19"/>
      <x:c r="H36" s="15" t="str">
        <x:v>active</x:v>
      </x:c>
      <x:c r="I36" s="14" t="str">
        <x:v>Karatê Shotokan — referência CBKD 2026</x:v>
      </x:c>
      <x:c r="J36" s="20" t="str">
        <x:v>Sim</x:v>
      </x:c>
      <x:c r="K36" s="14" t="str">
        <x:v>Cores variam conforme o estilo.</x:v>
      </x:c>
      <x:c r="L36" s="14" t="str">
        <x:v>F3</x:v>
      </x:c>
      <x:c r="M36" s="15" t="str">
        <x:f>IF(OR(A36="",B36="",C36="",D36="",H36=""),"Preencher campos obrigatórios",IF(COUNTIFS($A$7:$A$42,A36,$B$7:$B$42,B36)&gt;1,"Nome duplicado na modalidade",IF(COUNTIFS($A$7:$A$42,A36,$D$7:$D$42,D36)&gt;1,"Ordem duplicada na modalidade","OK")))</x:f>
        <x:v>OK</x:v>
      </x:c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5" t="str">
        <x:v>Karatê</x:v>
      </x:c>
      <x:c r="B37" s="15" t="str">
        <x:v>5-kyu</x:v>
      </x:c>
      <x:c r="C37" s="14" t="str">
        <x:v>5º Kyū — vermelha</x:v>
      </x:c>
      <x:c r="D37" s="19" t="n">
        <x:v>4</x:v>
      </x:c>
      <x:c r="E37" s="15" t="str">
        <x:v>Vermelha</x:v>
      </x:c>
      <x:c r="F37" s="19"/>
      <x:c r="G37" s="19"/>
      <x:c r="H37" s="15" t="str">
        <x:v>active</x:v>
      </x:c>
      <x:c r="I37" s="14" t="str">
        <x:v>Karatê Shotokan — referência CBKD 2026</x:v>
      </x:c>
      <x:c r="J37" s="20" t="str">
        <x:v>Sim</x:v>
      </x:c>
      <x:c r="K37" s="14" t="str">
        <x:v>Cores variam conforme o estilo.</x:v>
      </x:c>
      <x:c r="L37" s="14" t="str">
        <x:v>F3</x:v>
      </x:c>
      <x:c r="M37" s="15" t="str">
        <x:f>IF(OR(A37="",B37="",C37="",D37="",H37=""),"Preencher campos obrigatórios",IF(COUNTIFS($A$7:$A$42,A37,$B$7:$B$42,B37)&gt;1,"Nome duplicado na modalidade",IF(COUNTIFS($A$7:$A$42,A37,$D$7:$D$42,D37)&gt;1,"Ordem duplicada na modalidade","OK")))</x:f>
        <x:v>OK</x:v>
      </x:c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5" t="str">
        <x:v>Karatê</x:v>
      </x:c>
      <x:c r="B38" s="15" t="str">
        <x:v>4-kyu</x:v>
      </x:c>
      <x:c r="C38" s="14" t="str">
        <x:v>4º Kyū — laranja</x:v>
      </x:c>
      <x:c r="D38" s="19" t="n">
        <x:v>5</x:v>
      </x:c>
      <x:c r="E38" s="15" t="str">
        <x:v>Laranja</x:v>
      </x:c>
      <x:c r="F38" s="19"/>
      <x:c r="G38" s="19"/>
      <x:c r="H38" s="15" t="str">
        <x:v>active</x:v>
      </x:c>
      <x:c r="I38" s="14" t="str">
        <x:v>Karatê Shotokan — referência CBKD 2026</x:v>
      </x:c>
      <x:c r="J38" s="20" t="str">
        <x:v>Sim</x:v>
      </x:c>
      <x:c r="K38" s="14" t="str">
        <x:v>Cores variam conforme o estilo.</x:v>
      </x:c>
      <x:c r="L38" s="14" t="str">
        <x:v>F3</x:v>
      </x:c>
      <x:c r="M38" s="15" t="str">
        <x:f>IF(OR(A38="",B38="",C38="",D38="",H38=""),"Preencher campos obrigatórios",IF(COUNTIFS($A$7:$A$42,A38,$B$7:$B$42,B38)&gt;1,"Nome duplicado na modalidade",IF(COUNTIFS($A$7:$A$42,A38,$D$7:$D$42,D38)&gt;1,"Ordem duplicada na modalidade","OK")))</x:f>
        <x:v>OK</x:v>
      </x:c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5" t="str">
        <x:v>Karatê</x:v>
      </x:c>
      <x:c r="B39" s="15" t="str">
        <x:v>3-kyu</x:v>
      </x:c>
      <x:c r="C39" s="14" t="str">
        <x:v>3º Kyū — verde</x:v>
      </x:c>
      <x:c r="D39" s="19" t="n">
        <x:v>6</x:v>
      </x:c>
      <x:c r="E39" s="15" t="str">
        <x:v>Verde</x:v>
      </x:c>
      <x:c r="F39" s="19"/>
      <x:c r="G39" s="19"/>
      <x:c r="H39" s="15" t="str">
        <x:v>active</x:v>
      </x:c>
      <x:c r="I39" s="14" t="str">
        <x:v>Karatê Shotokan — referência CBKD 2026</x:v>
      </x:c>
      <x:c r="J39" s="20" t="str">
        <x:v>Sim</x:v>
      </x:c>
      <x:c r="K39" s="14" t="str">
        <x:v>Cores variam conforme o estilo.</x:v>
      </x:c>
      <x:c r="L39" s="14" t="str">
        <x:v>F3</x:v>
      </x:c>
      <x:c r="M39" s="15" t="str">
        <x:f>IF(OR(A39="",B39="",C39="",D39="",H39=""),"Preencher campos obrigatórios",IF(COUNTIFS($A$7:$A$42,A39,$B$7:$B$42,B39)&gt;1,"Nome duplicado na modalidade",IF(COUNTIFS($A$7:$A$42,A39,$D$7:$D$42,D39)&gt;1,"Ordem duplicada na modalidade","OK")))</x:f>
        <x:v>OK</x:v>
      </x:c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5" t="str">
        <x:v>Karatê</x:v>
      </x:c>
      <x:c r="B40" s="15" t="str">
        <x:v>2-kyu</x:v>
      </x:c>
      <x:c r="C40" s="14" t="str">
        <x:v>2º Kyū — roxa</x:v>
      </x:c>
      <x:c r="D40" s="19" t="n">
        <x:v>7</x:v>
      </x:c>
      <x:c r="E40" s="15" t="str">
        <x:v>Roxa</x:v>
      </x:c>
      <x:c r="F40" s="19"/>
      <x:c r="G40" s="19"/>
      <x:c r="H40" s="15" t="str">
        <x:v>active</x:v>
      </x:c>
      <x:c r="I40" s="14" t="str">
        <x:v>Karatê Shotokan — referência CBKD 2026</x:v>
      </x:c>
      <x:c r="J40" s="20" t="str">
        <x:v>Sim</x:v>
      </x:c>
      <x:c r="K40" s="14" t="str">
        <x:v>Cores variam conforme o estilo.</x:v>
      </x:c>
      <x:c r="L40" s="14" t="str">
        <x:v>F3</x:v>
      </x:c>
      <x:c r="M40" s="15" t="str">
        <x:f>IF(OR(A40="",B40="",C40="",D40="",H40=""),"Preencher campos obrigatórios",IF(COUNTIFS($A$7:$A$42,A40,$B$7:$B$42,B40)&gt;1,"Nome duplicado na modalidade",IF(COUNTIFS($A$7:$A$42,A40,$D$7:$D$42,D40)&gt;1,"Ordem duplicada na modalidade","OK")))</x:f>
        <x:v>OK</x:v>
      </x:c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5" t="str">
        <x:v>Karatê</x:v>
      </x:c>
      <x:c r="B41" s="15" t="str">
        <x:v>1-kyu</x:v>
      </x:c>
      <x:c r="C41" s="14" t="str">
        <x:v>1º Kyū — marrom</x:v>
      </x:c>
      <x:c r="D41" s="19" t="n">
        <x:v>8</x:v>
      </x:c>
      <x:c r="E41" s="15" t="str">
        <x:v>Marrom</x:v>
      </x:c>
      <x:c r="F41" s="19"/>
      <x:c r="G41" s="19"/>
      <x:c r="H41" s="15" t="str">
        <x:v>active</x:v>
      </x:c>
      <x:c r="I41" s="14" t="str">
        <x:v>Karatê Shotokan — referência CBKD 2026</x:v>
      </x:c>
      <x:c r="J41" s="20" t="str">
        <x:v>Sim</x:v>
      </x:c>
      <x:c r="K41" s="14" t="str">
        <x:v>Cores variam conforme o estilo.</x:v>
      </x:c>
      <x:c r="L41" s="14" t="str">
        <x:v>F3</x:v>
      </x:c>
      <x:c r="M41" s="15" t="str">
        <x:f>IF(OR(A41="",B41="",C41="",D41="",H41=""),"Preencher campos obrigatórios",IF(COUNTIFS($A$7:$A$42,A41,$B$7:$B$42,B41)&gt;1,"Nome duplicado na modalidade",IF(COUNTIFS($A$7:$A$42,A41,$D$7:$D$42,D41)&gt;1,"Ordem duplicada na modalidade","OK")))</x:f>
        <x:v>OK</x:v>
      </x:c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5" t="str">
        <x:v>Karatê</x:v>
      </x:c>
      <x:c r="B42" s="15" t="str">
        <x:v>1-dan</x:v>
      </x:c>
      <x:c r="C42" s="14" t="str">
        <x:v>1º Dan — faixa preta</x:v>
      </x:c>
      <x:c r="D42" s="19" t="n">
        <x:v>9</x:v>
      </x:c>
      <x:c r="E42" s="15" t="str">
        <x:v>Preta</x:v>
      </x:c>
      <x:c r="F42" s="19"/>
      <x:c r="G42" s="19"/>
      <x:c r="H42" s="15" t="str">
        <x:v>active</x:v>
      </x:c>
      <x:c r="I42" s="14" t="str">
        <x:v>Karatê Shotokan — referência CBKD 2026</x:v>
      </x:c>
      <x:c r="J42" s="20" t="str">
        <x:v>Sim</x:v>
      </x:c>
      <x:c r="K42" s="14" t="str">
        <x:v>Adicionar Dans superiores somente após confirmar a norma aplicável.</x:v>
      </x:c>
      <x:c r="L42" s="14" t="str">
        <x:v>F3</x:v>
      </x:c>
      <x:c r="M42" s="15" t="str">
        <x:f>IF(OR(A42="",B42="",C42="",D42="",H42=""),"Preencher campos obrigatórios",IF(COUNTIFS($A$7:$A$42,A42,$B$7:$B$42,B42)&gt;1,"Nome duplicado na modalidade",IF(COUNTIFS($A$7:$A$42,A42,$D$7:$D$42,D42)&gt;1,"Ordem duplicada na modalidade","OK")))</x:f>
        <x:v>OK</x:v>
      </x:c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M2"/>
    <x:mergeCell ref="A3:M3"/>
  </x:mergeCells>
  <x:conditionalFormatting sqref="M7:M42">
    <x:cfRule type="expression" dxfId="0" priority="1">
      <x:formula>M7="OK"</x:formula>
    </x:cfRule>
    <x:cfRule type="expression" dxfId="1" priority="2">
      <x:formula>M7&lt;&gt;"OK"</x:formula>
    </x:cfRule>
  </x:conditionalFormatting>
  <x:dataValidations count="2">
    <x:dataValidation type="list" sqref="H7:H42">
      <x:formula1>"active,inactive"</x:formula1>
    </x:dataValidation>
    <x:dataValidation type="list" sqref="J7:J4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2e2fa93f654c5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30" hidden="0" customWidth="1"/>
    <x:col min="5" max="5" width="12" hidden="0" customWidth="1"/>
    <x:col min="6" max="6" width="18" hidden="0" customWidth="1"/>
    <x:col min="7" max="7" width="14" hidden="0" customWidth="1"/>
    <x:col min="8" max="8" width="12" hidden="0" customWidth="1"/>
    <x:col min="9" max="9" width="60" hidden="0" customWidth="1"/>
    <x:col min="10" max="10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Trilhas alternativas para revisão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Não combine estas linhas com a sequência adulta sem decidir como o SIGAM representará progressões ramificadas.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modalidade</x:v>
      </x:c>
      <x:c r="B6" s="18" t="str">
        <x:v>trilha</x:v>
      </x:c>
      <x:c r="C6" s="18" t="str">
        <x:v>name</x:v>
      </x:c>
      <x:c r="D6" s="18" t="str">
        <x:v>display_name</x:v>
      </x:c>
      <x:c r="E6" s="18" t="str">
        <x:v>sort_order</x:v>
      </x:c>
      <x:c r="F6" s="18" t="str">
        <x:v>color_name</x:v>
      </x:c>
      <x:c r="G6" s="18" t="str">
        <x:v>minimum_age</x:v>
      </x:c>
      <x:c r="H6" s="18" t="str">
        <x:v>status</x:v>
      </x:c>
      <x:c r="I6" s="18" t="str">
        <x:v>observacoes</x:v>
      </x:c>
      <x:c r="J6" s="18" t="str">
        <x:v>fonte_id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v>Jiu-Jitsu Brasileiro</x:v>
      </x:c>
      <x:c r="B7" s="15" t="str">
        <x:v>Infantil</x:v>
      </x:c>
      <x:c r="C7" s="15" t="str">
        <x:v>branca-infantil</x:v>
      </x:c>
      <x:c r="D7" s="15" t="str">
        <x:v>Faixa branca infantil</x:v>
      </x:c>
      <x:c r="E7" s="15" t="n">
        <x:v>1</x:v>
      </x:c>
      <x:c r="F7" s="15" t="str">
        <x:v>Branca</x:v>
      </x:c>
      <x:c r="G7" s="15"/>
      <x:c r="H7" s="15" t="str">
        <x:v>active</x:v>
      </x:c>
      <x:c r="I7" s="14" t="str">
        <x:v>Ponto inicial. A CBJJ oferece modelos infantis com graus e faixas.</x:v>
      </x:c>
      <x:c r="J7" s="15" t="str">
        <x:v>F2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Jiu-Jitsu Brasileiro</x:v>
      </x:c>
      <x:c r="B8" s="15" t="str">
        <x:v>Infantil</x:v>
      </x:c>
      <x:c r="C8" s="15" t="str">
        <x:v>cinza-infantil</x:v>
      </x:c>
      <x:c r="D8" s="15" t="str">
        <x:v>Faixa cinza infantil</x:v>
      </x:c>
      <x:c r="E8" s="15" t="n">
        <x:v>2</x:v>
      </x:c>
      <x:c r="F8" s="15" t="str">
        <x:v>Cinza</x:v>
      </x:c>
      <x:c r="G8" s="15" t="n">
        <x:v>4</x:v>
      </x:c>
      <x:c r="H8" s="15" t="str">
        <x:v>active</x:v>
      </x:c>
      <x:c r="I8" s="14" t="str">
        <x:v>Família de faixa observada nas categorias infantis.</x:v>
      </x:c>
      <x:c r="J8" s="15" t="str">
        <x:v>F4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Jiu-Jitsu Brasileiro</x:v>
      </x:c>
      <x:c r="B9" s="15" t="str">
        <x:v>Infantil</x:v>
      </x:c>
      <x:c r="C9" s="15" t="str">
        <x:v>amarela-infantil</x:v>
      </x:c>
      <x:c r="D9" s="15" t="str">
        <x:v>Faixa amarela infantil</x:v>
      </x:c>
      <x:c r="E9" s="15" t="n">
        <x:v>3</x:v>
      </x:c>
      <x:c r="F9" s="15" t="str">
        <x:v>Amarela</x:v>
      </x:c>
      <x:c r="G9" s="15" t="n">
        <x:v>7</x:v>
      </x:c>
      <x:c r="H9" s="15" t="str">
        <x:v>active</x:v>
      </x:c>
      <x:c r="I9" s="14" t="str">
        <x:v>Família de faixa observada nas categorias infantis.</x:v>
      </x:c>
      <x:c r="J9" s="15" t="str">
        <x:v>F4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str">
        <x:v>Jiu-Jitsu Brasileiro</x:v>
      </x:c>
      <x:c r="B10" s="15" t="str">
        <x:v>Infantil</x:v>
      </x:c>
      <x:c r="C10" s="15" t="str">
        <x:v>laranja-infantil</x:v>
      </x:c>
      <x:c r="D10" s="15" t="str">
        <x:v>Faixa laranja infantil</x:v>
      </x:c>
      <x:c r="E10" s="15" t="n">
        <x:v>4</x:v>
      </x:c>
      <x:c r="F10" s="15" t="str">
        <x:v>Laranja</x:v>
      </x:c>
      <x:c r="G10" s="15" t="n">
        <x:v>10</x:v>
      </x:c>
      <x:c r="H10" s="15" t="str">
        <x:v>active</x:v>
      </x:c>
      <x:c r="I10" s="14" t="str">
        <x:v>Família de faixa observada nas categorias infantis.</x:v>
      </x:c>
      <x:c r="J10" s="15" t="str">
        <x:v>F4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" t="str">
        <x:v>Jiu-Jitsu Brasileiro</x:v>
      </x:c>
      <x:c r="B11" s="15" t="str">
        <x:v>Infantil</x:v>
      </x:c>
      <x:c r="C11" s="15" t="str">
        <x:v>verde-infantil</x:v>
      </x:c>
      <x:c r="D11" s="15" t="str">
        <x:v>Faixa verde infantil</x:v>
      </x:c>
      <x:c r="E11" s="15" t="n">
        <x:v>5</x:v>
      </x:c>
      <x:c r="F11" s="15" t="str">
        <x:v>Verde</x:v>
      </x:c>
      <x:c r="G11" s="15" t="n">
        <x:v>13</x:v>
      </x:c>
      <x:c r="H11" s="15" t="str">
        <x:v>active</x:v>
      </x:c>
      <x:c r="I11" s="14" t="str">
        <x:v>Família de faixa observada nas categorias infantis.</x:v>
      </x:c>
      <x:c r="J11" s="15" t="str">
        <x:v>F4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c90f81cfdb17486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75" hidden="0" customWidth="1"/>
    <x:col min="5" max="5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Fontes e limites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Consultadas em 08/10/2026. Confirme alterações posteriores antes de carregar em produção.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" customHeight="1">
      <x:c r="A4" s="4"/>
      <x:c r="B4" s="4"/>
      <x:c r="C4" s="4"/>
      <x:c r="D4" s="4"/>
      <x:c r="E4" s="4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fonte_id</x:v>
      </x:c>
      <x:c r="B6" s="18" t="str">
        <x:v>Entidade</x:v>
      </x:c>
      <x:c r="C6" s="18" t="str">
        <x:v>Documento ou página</x:v>
      </x:c>
      <x:c r="D6" s="18" t="str">
        <x:v>Endereço</x:v>
      </x:c>
      <x:c r="E6" s="18" t="str">
        <x:v>Uso no template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v>F1</x:v>
      </x:c>
      <x:c r="B7" s="14" t="str">
        <x:v>Confederação Brasileira de Judô</x:v>
      </x:c>
      <x:c r="C7" s="14" t="str">
        <x:v>Regulamento Nacional de Promoção e Outorga de Graus, edição publicada em 2023</x:v>
      </x:c>
      <x:c r="D7" s="14" t="str">
        <x:v>https://cbj.com.br/public/uploads/regulamentos_esportivos/arquivo_cbj_180223310123.pdf</x:v>
      </x:c>
      <x:c r="E7" s="14" t="str">
        <x:v>Sequência, idade e interstício das graduações básicas e intermediárias; nomes das graduações superiores.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F2</x:v>
      </x:c>
      <x:c r="B8" s="14" t="str">
        <x:v>CBJJ / IBJJF</x:v>
      </x:c>
      <x:c r="C8" s="14" t="str">
        <x:v>Sistema geral de graduação</x:v>
      </x:c>
      <x:c r="D8" s="14" t="str">
        <x:v>https://cbjj.com.br/graduation-system</x:v>
      </x:c>
      <x:c r="E8" s="14" t="str">
        <x:v>Sequência adulta e existência de sistemas infantis alternativos. Períodos mínimos devem ser reconfirmados.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F3</x:v>
      </x:c>
      <x:c r="B9" s="14" t="str">
        <x:v>Confederação Brasileira de Karatê-Dô</x:v>
      </x:c>
      <x:c r="C9" s="14" t="str">
        <x:v>O caminho das faixas — exemplo Shotokan</x:v>
      </x:c>
      <x:c r="D9" s="14" t="str">
        <x:v>https://cbkdkaratebrasil.com.br/modalidades</x:v>
      </x:c>
      <x:c r="E9" s="14" t="str">
        <x:v>Sequência de cores Shotokan apresentada como exemplo, com aviso explícito de variação por estilo.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str">
        <x:v>F4</x:v>
      </x:c>
      <x:c r="B10" s="14" t="str">
        <x:v>CBJJ / IBJJF</x:v>
      </x:c>
      <x:c r="C10" s="14" t="str">
        <x:v>Kids International IBJJF Jiu-Jitsu Championship — São Paulo 2026</x:v>
      </x:c>
      <x:c r="D10" s="14" t="str">
        <x:v>https://cbjj.com.br/events/kids-international-ibjjf-jiu-jitsu-championship-sao-paulo-2026</x:v>
      </x:c>
      <x:c r="E10" s="14" t="str">
        <x:v>Faixas infantis permitidas por idade em competição. Não substitui o sistema geral de graduação.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1730603ff2104925"/>
  </x:tableParts>
</x:worksheet>
</file>